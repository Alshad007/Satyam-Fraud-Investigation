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shad Ansari\Downloads\New folder\"/>
    </mc:Choice>
  </mc:AlternateContent>
  <xr:revisionPtr revIDLastSave="0" documentId="13_ncr:1_{202A656A-3FFC-402F-ACC8-4C3899BCB18C}" xr6:coauthVersionLast="47" xr6:coauthVersionMax="47" xr10:uidLastSave="{00000000-0000-0000-0000-000000000000}"/>
  <bookViews>
    <workbookView xWindow="-108" yWindow="-108" windowWidth="23256" windowHeight="12576" tabRatio="500" activeTab="4" xr2:uid="{00000000-000D-0000-FFFF-FFFF00000000}"/>
  </bookViews>
  <sheets>
    <sheet name="Raw Data" sheetId="1" r:id="rId1"/>
    <sheet name="Analysis" sheetId="2" r:id="rId2"/>
    <sheet name="Red Flag Scoring" sheetId="3" r:id="rId3"/>
    <sheet name="Scenario Analysis" sheetId="4" r:id="rId4"/>
    <sheet name="Dashboard" sheetId="5" r:id="rId5"/>
  </sheet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4" l="1"/>
  <c r="D23" i="4"/>
  <c r="D22" i="4"/>
  <c r="D21" i="4"/>
  <c r="D20" i="4"/>
  <c r="D19" i="4"/>
  <c r="E13" i="4"/>
  <c r="E12" i="4"/>
  <c r="E11" i="4"/>
  <c r="E10" i="4"/>
  <c r="E9" i="4"/>
  <c r="E8" i="4"/>
  <c r="E7" i="4"/>
  <c r="E6" i="4"/>
  <c r="E15" i="3"/>
  <c r="D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H19" i="1"/>
  <c r="G19" i="1"/>
  <c r="G18" i="1"/>
  <c r="H18" i="1" s="1"/>
  <c r="H17" i="1"/>
  <c r="G17" i="1"/>
  <c r="G16" i="1"/>
  <c r="H16" i="1" s="1"/>
  <c r="H15" i="1"/>
  <c r="G15" i="1"/>
  <c r="G14" i="1"/>
  <c r="H14" i="1" s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</calcChain>
</file>

<file path=xl/sharedStrings.xml><?xml version="1.0" encoding="utf-8"?>
<sst xmlns="http://schemas.openxmlformats.org/spreadsheetml/2006/main" count="292" uniqueCount="196">
  <si>
    <t>SATYAM FRAUD INVESTIGATION — RAW FINANCIAL DATA (Rs. in Crores)</t>
  </si>
  <si>
    <t>Source: Satyam Computer Services Annual Reports FY2005–FY2008 (Indian GAAP) | Raju Confession Letter dated Jan 7, 2009 | AsiaLaw cover story Feb 2009</t>
  </si>
  <si>
    <t>SATYAM COMPUTER SERVICES — P&amp;L STATEMENT (REPORTED)</t>
  </si>
  <si>
    <t>Metric</t>
  </si>
  <si>
    <t>FY2005</t>
  </si>
  <si>
    <t>FY2006</t>
  </si>
  <si>
    <t>FY2007</t>
  </si>
  <si>
    <t>FY2008</t>
  </si>
  <si>
    <t>YoY Growth FY06</t>
  </si>
  <si>
    <t>YoY Growth FY07</t>
  </si>
  <si>
    <t>YoY Growth FY08</t>
  </si>
  <si>
    <t>Notes</t>
  </si>
  <si>
    <t>Total Revenue (IT Services)</t>
  </si>
  <si>
    <t>Other Income</t>
  </si>
  <si>
    <t>Total Income</t>
  </si>
  <si>
    <t>KEY: 30.96% growth FY08 — reported</t>
  </si>
  <si>
    <t>Operating Profit (PBIDT)</t>
  </si>
  <si>
    <t>Profit After Tax (PAT)</t>
  </si>
  <si>
    <t>FRAUDULENT — actual PAT was negative</t>
  </si>
  <si>
    <t>Interest Income (Other Inc.)</t>
  </si>
  <si>
    <t>SATYAM COMPUTER SERVICES — BALANCE SHEET (REPORTED vs ACTUAL)</t>
  </si>
  <si>
    <t>FY2008 Reported</t>
  </si>
  <si>
    <t>FY2008 Actual*</t>
  </si>
  <si>
    <t>Overstatement</t>
  </si>
  <si>
    <t>Overstatement %</t>
  </si>
  <si>
    <t>Fraud Flag</t>
  </si>
  <si>
    <t>Cash &amp; Bank Balances</t>
  </si>
  <si>
    <t>⚠ FRAUDULENT</t>
  </si>
  <si>
    <t>Sundry Debtors</t>
  </si>
  <si>
    <t>Total Current Assets</t>
  </si>
  <si>
    <t>Total Assets</t>
  </si>
  <si>
    <t>Reserves &amp; Surplus</t>
  </si>
  <si>
    <t>Number of Employees</t>
  </si>
  <si>
    <t>⚠ ~13,000 GHOST EMPLOYEES</t>
  </si>
  <si>
    <t>* FY2008 Actual figures derived from Raju's Confession Letter (Jan 7, 2009): Cash overstated by Rs.5,040 Cr; Debtors overstated by Rs.490 Cr; Understated liabilities Rs.1,230 Cr</t>
  </si>
  <si>
    <t>INFOSYS TECHNOLOGIES — PEER BENCHMARK DATA (HONEST COMPANY)</t>
  </si>
  <si>
    <t>Source: Infosys Annual Report</t>
  </si>
  <si>
    <t>PAT Margin %</t>
  </si>
  <si>
    <t>RATIO ANALYSIS — SATYAM vs INFOSYS (FY2005–FY2008)</t>
  </si>
  <si>
    <t>Key ratios computed to identify financial anomalies and fraud signals. Red = Satyam | Green = Infosys.</t>
  </si>
  <si>
    <t>Ratio</t>
  </si>
  <si>
    <t>Company</t>
  </si>
  <si>
    <t>Trend</t>
  </si>
  <si>
    <t>Red Flag?</t>
  </si>
  <si>
    <t>Interpretation</t>
  </si>
  <si>
    <t>Satyam</t>
  </si>
  <si>
    <t>↓</t>
  </si>
  <si>
    <t>MODERATE</t>
  </si>
  <si>
    <t>Satyam margin looks healthy but was based on fake revenues</t>
  </si>
  <si>
    <t>Operating Profit Margin</t>
  </si>
  <si>
    <t>LOW</t>
  </si>
  <si>
    <t>Satyam PBIDT margin declining — typical of revenue inflation</t>
  </si>
  <si>
    <t>Infosys</t>
  </si>
  <si>
    <t>↑</t>
  </si>
  <si>
    <t>NORMAL</t>
  </si>
  <si>
    <t>Cash to Total Assets</t>
  </si>
  <si>
    <t>⚠ CRITICAL</t>
  </si>
  <si>
    <t>FY2008 cash ratio 74.3% — physically impossible for IT firm</t>
  </si>
  <si>
    <t>Receivables to Revenue</t>
  </si>
  <si>
    <t>⚠ HIGH</t>
  </si>
  <si>
    <t>Satyam collects cash slower — suggests fake revenue bookings</t>
  </si>
  <si>
    <t>Interest Income to Cash</t>
  </si>
  <si>
    <t>FY2008: interest income implies only 4.8% yield on Rs.5361Cr cash — impossible</t>
  </si>
  <si>
    <t>Revenue per Employee (Lakhs)</t>
  </si>
  <si>
    <t>Satyam revenue/employee declining — ghost employees diluting metric</t>
  </si>
  <si>
    <t>Fake Cash Ratio</t>
  </si>
  <si>
    <t>⚠ FRAUD CONFIRMED</t>
  </si>
  <si>
    <t>94% of FY2008 reported cash was non-existent per Raju confession</t>
  </si>
  <si>
    <t>Employee Growth YoY %</t>
  </si>
  <si>
    <t>HIGH</t>
  </si>
  <si>
    <t>Satyam hired aggressively — 13,000 were ghost employees per CID</t>
  </si>
  <si>
    <t>FRAUD RISK SCORING MODEL — 10-POINT RED FLAG FRAMEWORK</t>
  </si>
  <si>
    <t>Proprietary red flag scoring model based on forensic accounting principles. Score 0–10 per indicator (10 = highest fraud risk). Weighted composite score.</t>
  </si>
  <si>
    <t>#</t>
  </si>
  <si>
    <t>Red Flag Indicator</t>
  </si>
  <si>
    <t>Weight</t>
  </si>
  <si>
    <t>Satyam Score
(0-10)</t>
  </si>
  <si>
    <t>Infosys Score
(0-10)</t>
  </si>
  <si>
    <t>Satyam Weighted</t>
  </si>
  <si>
    <t>Infosys Weighted</t>
  </si>
  <si>
    <t>Evidence</t>
  </si>
  <si>
    <t>Control That Failed</t>
  </si>
  <si>
    <t>Cash Balance Inconsistency</t>
  </si>
  <si>
    <t>Rs.5,040Cr fake cash; 94% of reported balance non-existent</t>
  </si>
  <si>
    <t>Bank confirmation audit procedure bypassed</t>
  </si>
  <si>
    <t>Revenue vs Receivables Mismatch</t>
  </si>
  <si>
    <t>Receivables grew 35% faster than revenues in FY2008</t>
  </si>
  <si>
    <t>Independent debtor confirmation not performed</t>
  </si>
  <si>
    <t>Interest Income Anomaly</t>
  </si>
  <si>
    <t>FY2008 interest implies 4.8% on Rs.5,361Cr — well below market rates</t>
  </si>
  <si>
    <t>Interest income reconciliation to bank statements skipped</t>
  </si>
  <si>
    <t>Headcount vs Revenue Mismatch</t>
  </si>
  <si>
    <t>CID alleged 10,000–13,000 ghost employees; Rs.20Cr siphoned/month</t>
  </si>
  <si>
    <t>HR payroll audit vs actual headcount not reconciled</t>
  </si>
  <si>
    <t>Promoter Share Pledge</t>
  </si>
  <si>
    <t>Raju pledged 100% of personal stake; stake fell to 5.13%</t>
  </si>
  <si>
    <t>SEBI disclosure norms did not mandate pledge disclosure</t>
  </si>
  <si>
    <t>Related Party Transactions</t>
  </si>
  <si>
    <t>Attempted Maytas acquisition (family-owned) for $1.6Bn</t>
  </si>
  <si>
    <t>Audit committee approved without independent valuation</t>
  </si>
  <si>
    <t>Auditor Fee Relative to Complexity</t>
  </si>
  <si>
    <t>PwC fee disproportionately low for Rs.8,000Cr+ revenue company</t>
  </si>
  <si>
    <t>Regulator did not mandate fee-to-complexity benchmarking</t>
  </si>
  <si>
    <t>Board Independence Quality</t>
  </si>
  <si>
    <t>4 independent directors resigned only after fraud surfaced</t>
  </si>
  <si>
    <t>Independent directors acted as rubber stamps; no proactive oversight</t>
  </si>
  <si>
    <t>Accrued Interest Manipulation</t>
  </si>
  <si>
    <t>Rs.376Cr accrued interest on non-existent deposits</t>
  </si>
  <si>
    <t>Third-party bank confirmation procedure circumvented</t>
  </si>
  <si>
    <t>Operating Margin Compression</t>
  </si>
  <si>
    <t>PBIDT margin declined from 31.4% (FY06) to 24.9% (FY08) despite revenue growth</t>
  </si>
  <si>
    <t>No trigger alert on declining margin vs growing revenue</t>
  </si>
  <si>
    <t>COMPOSITE FRAUD RISK SCORE (out of 10)</t>
  </si>
  <si>
    <t>Satyam = HIGH RISK (8.3/10) vs Infosys NORMAL (1.6/10) — 5x gap = FRAUD CONFIRMED</t>
  </si>
  <si>
    <t>SCENARIO ANALYSIS — FRAUD IMPACT &amp; ACTUAL FINANCIAL POSITION</t>
  </si>
  <si>
    <t>Three scenarios: Reported (fraudulent), Restated (post-investigation) and Best-Case Actual. Waterfall shows exact fraud quantum.</t>
  </si>
  <si>
    <t>SCENARIO COMPARISON — FY2008 FINANCIALS</t>
  </si>
  <si>
    <t>Reported
(Fraudulent)</t>
  </si>
  <si>
    <t>Restatement
Adjustment</t>
  </si>
  <si>
    <t>Actual
(Restated)</t>
  </si>
  <si>
    <t>Variance %</t>
  </si>
  <si>
    <t>Impact</t>
  </si>
  <si>
    <t>Regulatory
Violation</t>
  </si>
  <si>
    <t>Cash &amp; Bank Balances (Rs. Cr)</t>
  </si>
  <si>
    <t>Rs.5,040Cr fictitious cash</t>
  </si>
  <si>
    <t>Accrued Interest (Rs. Cr)</t>
  </si>
  <si>
    <t>100% non-existent</t>
  </si>
  <si>
    <t>Sundry Debtors (Rs. Cr)</t>
  </si>
  <si>
    <t>Rs.490Cr fake debtors</t>
  </si>
  <si>
    <t>Understated Liabilities (Rs. Cr)</t>
  </si>
  <si>
    <t>Hidden borrowings arranged by Raju</t>
  </si>
  <si>
    <t>Revenue Q2 FY2009 (Rs. Cr)</t>
  </si>
  <si>
    <t>Rs.588Cr inflated in Q2 alone</t>
  </si>
  <si>
    <t>Operating Margin Q2</t>
  </si>
  <si>
    <t>24% reported; 3% actual</t>
  </si>
  <si>
    <t>Headcount (persons)</t>
  </si>
  <si>
    <t>~13,000 ghost employees</t>
  </si>
  <si>
    <t>Net Worth Impact (Rs. Cr)</t>
  </si>
  <si>
    <t>Company was effectively insolvent</t>
  </si>
  <si>
    <t>TOTAL FRAUD QUANTUM</t>
  </si>
  <si>
    <t>Rs. 7,136 Crores</t>
  </si>
  <si>
    <t>India's largest corporate fraud at time of discovery — equivalent to US$1.6 Billion</t>
  </si>
  <si>
    <t>FRAUD ESCALATION TIMELINE — HOW A SMALL GAP BECAME Rs.7,136 CRORES</t>
  </si>
  <si>
    <t>Year</t>
  </si>
  <si>
    <t>Reported Cash (Cr)</t>
  </si>
  <si>
    <t>Actual Cash (Cr)</t>
  </si>
  <si>
    <t>Gap (Cr)</t>
  </si>
  <si>
    <t>Cumulative Gap</t>
  </si>
  <si>
    <t>Trigger Event</t>
  </si>
  <si>
    <t>FY2002</t>
  </si>
  <si>
    <t>Gap begins — small accounting manipulation</t>
  </si>
  <si>
    <t>FY2003</t>
  </si>
  <si>
    <t>Fraudulent bank deposits created</t>
  </si>
  <si>
    <t>Interest income manipulation begins</t>
  </si>
  <si>
    <t>Ghost employee siphoning Rs.20Cr/month</t>
  </si>
  <si>
    <t>Satyam barred by World Bank — pressure mounts</t>
  </si>
  <si>
    <t>Maytas deal collapses — confession imminent</t>
  </si>
  <si>
    <t>SATYAM FRAUD INVESTIGATION — EXECUTIVE DASHBOARD</t>
  </si>
  <si>
    <t>Independent Forensic Financial Analysis | Md Alshad Ansari | Tools: Microsoft Excel | Sources: Annual Reports, Raju Confession Letter, CID Findings</t>
  </si>
  <si>
    <t>FRAUD QUANTUM</t>
  </si>
  <si>
    <t>FAKE CASH</t>
  </si>
  <si>
    <t>GHOST EMPLOYEES</t>
  </si>
  <si>
    <t>FRAUD RISK SCORE</t>
  </si>
  <si>
    <t>YEARS UNDETECTED</t>
  </si>
  <si>
    <t>PwC FINE</t>
  </si>
  <si>
    <t>Rs. 7,136 Cr</t>
  </si>
  <si>
    <t>Rs. 5,040 Cr</t>
  </si>
  <si>
    <t>~13,000</t>
  </si>
  <si>
    <t>8.3 / 10</t>
  </si>
  <si>
    <t>7+ Years</t>
  </si>
  <si>
    <t>US$200 (India)
US$33M (Total)</t>
  </si>
  <si>
    <t>CHART 1: Cash &amp; Bank Balances — Satyam vs Infosys (FY2005–FY2008)</t>
  </si>
  <si>
    <t>FY2008
Reported</t>
  </si>
  <si>
    <t>FY2008
Actual</t>
  </si>
  <si>
    <t>CHART 2: Red Flag Scores — Satyam vs Infosys</t>
  </si>
  <si>
    <t>Cash Anomaly</t>
  </si>
  <si>
    <t>Receivables</t>
  </si>
  <si>
    <t>Interest Inc.</t>
  </si>
  <si>
    <t>Headcount</t>
  </si>
  <si>
    <t>Share Pledge</t>
  </si>
  <si>
    <t>Related Party</t>
  </si>
  <si>
    <t>Auditor Fee</t>
  </si>
  <si>
    <t>Board Quality</t>
  </si>
  <si>
    <t>KEY FINDINGS</t>
  </si>
  <si>
    <t>1. CASH FRAUD: Rs.5,040 Cr (94%) of reported FY2008 cash balance was non-existent — confirmed by Raju's confession and CID investigation</t>
  </si>
  <si>
    <t>2. REVENUE INFLATION: Q2 FY2009 revenue overstated by Rs.588 Cr (28%) in a single quarter; operating margin falsified from 3% to 24%</t>
  </si>
  <si>
    <t>3. GHOST EMPLOYEES: ~13,000 fictitious employees on payroll — Rs.20 Cr/month siphoned; Revenue-per-employee ratio masked by headcount inflation</t>
  </si>
  <si>
    <t>4. INTEREST INCOME ANOMALY: Reported interest income implies 4.8% yield on cash — below prevailing FD rates; should have flagged fake deposits</t>
  </si>
  <si>
    <t>5. CONTROL FAILURE: PwC (external auditor) failed to obtain independent bank confirmations — three-tier audit system completely bypassed</t>
  </si>
  <si>
    <t>6. GOVERNANCE BREAKDOWN: 100% of Raju's shares pledged; 4 independent directors resigned only AFTER fraud surfaced — pure rubber stamps</t>
  </si>
  <si>
    <t>RECOMMENDATIONS — PREVENTING RECURRENCE</t>
  </si>
  <si>
    <t>REC 1: Mandatory independent bank confirmation for ALL cash balances &gt; Rs.100 Cr — auditors must verify directly with banks, not company-provided statements</t>
  </si>
  <si>
    <t>REC 2: Compulsory auditor rotation every 5 years + joint audit for companies with revenue &gt; Rs.1,000 Cr — eliminates long-term collusion risk</t>
  </si>
  <si>
    <t>REC 3: Real-time SEBI reporting of promoter share pledges — any pledge &gt; 10% of promoter holding triggers automatic investigation</t>
  </si>
  <si>
    <t>REC 4: Whistleblower protection legislation with financial rewards — Satyam employees who suspected fraud had no safe reporting mechanism</t>
  </si>
  <si>
    <t>REC 5: Independent HR audit for companies &gt; 10,000 employees — physical headcount verification against payroll records mandatory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</si>
</sst>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9"/>
      <color rgb="FFC00000"/>
      <name val="Arial"/>
      <charset val="1"/>
    </font>
    <font>
      <sz val="10"/>
      <color rgb="FFC00000"/>
      <name val="Arial"/>
      <charset val="1"/>
    </font>
    <font>
      <b/>
      <sz val="10"/>
      <color rgb="FFC00000"/>
      <name val="Arial"/>
      <charset val="1"/>
    </font>
    <font>
      <sz val="9"/>
      <color rgb="FFC00000"/>
      <name val="Arial"/>
      <charset val="1"/>
    </font>
    <font>
      <sz val="10"/>
      <color rgb="FF375623"/>
      <name val="Arial"/>
      <charset val="1"/>
    </font>
    <font>
      <sz val="9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sz val="11"/>
      <color rgb="FFC00000"/>
      <name val="Arial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C00000"/>
      <name val="Arial"/>
      <charset val="1"/>
    </font>
    <font>
      <b/>
      <sz val="14"/>
      <color rgb="FFC55A11"/>
      <name val="Arial"/>
      <charset val="1"/>
    </font>
    <font>
      <b/>
      <sz val="10"/>
      <color rgb="FFC55A11"/>
      <name val="Arial"/>
      <charset val="1"/>
    </font>
    <font>
      <sz val="10"/>
      <color rgb="FF1F3864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E4A7A"/>
      </patternFill>
    </fill>
    <fill>
      <patternFill patternType="solid">
        <fgColor rgb="FF2E4A7A"/>
        <bgColor rgb="FF1A5276"/>
      </patternFill>
    </fill>
    <fill>
      <patternFill patternType="solid">
        <fgColor rgb="FFFFE0E0"/>
        <bgColor rgb="FFFFF2CC"/>
      </patternFill>
    </fill>
    <fill>
      <patternFill patternType="solid">
        <fgColor rgb="FF1A5276"/>
        <bgColor rgb="FF2E4A7A"/>
      </patternFill>
    </fill>
    <fill>
      <patternFill patternType="solid">
        <fgColor rgb="FF2874A6"/>
        <bgColor rgb="FF4F81BD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0000"/>
        <bgColor rgb="FF003300"/>
      </patternFill>
    </fill>
    <fill>
      <patternFill patternType="solid">
        <fgColor rgb="FF00B050"/>
        <bgColor rgb="FF00808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9F9F9"/>
      </patternFill>
    </fill>
    <fill>
      <patternFill patternType="solid">
        <fgColor theme="1" tint="0.249977111117893"/>
        <bgColor rgb="FF2E4A7A"/>
      </patternFill>
    </fill>
    <fill>
      <patternFill patternType="solid">
        <fgColor theme="1" tint="0.499984740745262"/>
        <bgColor rgb="FF2E4A7A"/>
      </patternFill>
    </fill>
    <fill>
      <patternFill patternType="solid">
        <fgColor theme="1" tint="0.499984740745262"/>
        <bgColor rgb="FF1A527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/>
    <xf numFmtId="4" fontId="9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/>
    <xf numFmtId="3" fontId="6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/>
    <xf numFmtId="0" fontId="4" fillId="6" borderId="1" xfId="0" applyFont="1" applyFill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3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/>
    <xf numFmtId="0" fontId="1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165" fontId="12" fillId="7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2" fontId="16" fillId="9" borderId="1" xfId="0" applyNumberFormat="1" applyFont="1" applyFill="1" applyBorder="1" applyAlignment="1">
      <alignment horizontal="center" vertical="center"/>
    </xf>
    <xf numFmtId="2" fontId="16" fillId="1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/>
    <xf numFmtId="0" fontId="17" fillId="0" borderId="0" xfId="0" applyFont="1" applyBorder="1" applyAlignment="1"/>
    <xf numFmtId="0" fontId="12" fillId="7" borderId="0" xfId="0" applyFont="1" applyFill="1" applyBorder="1" applyAlignment="1">
      <alignment vertical="center" wrapText="1"/>
    </xf>
    <xf numFmtId="0" fontId="23" fillId="12" borderId="0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vertical="center" wrapText="1"/>
    </xf>
    <xf numFmtId="0" fontId="22" fillId="12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vertical="center" wrapText="1"/>
    </xf>
    <xf numFmtId="0" fontId="20" fillId="12" borderId="0" xfId="0" applyFont="1" applyFill="1" applyBorder="1" applyAlignment="1">
      <alignment horizontal="center" vertical="center"/>
    </xf>
    <xf numFmtId="0" fontId="21" fillId="1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18" fillId="13" borderId="0" xfId="0" applyFont="1" applyFill="1" applyBorder="1" applyAlignment="1">
      <alignment horizontal="center" vertical="center"/>
    </xf>
    <xf numFmtId="0" fontId="3" fillId="14" borderId="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16" fillId="14" borderId="0" xfId="0" applyFont="1" applyFill="1" applyBorder="1" applyAlignment="1">
      <alignment horizontal="center" vertical="center"/>
    </xf>
    <xf numFmtId="0" fontId="3" fillId="1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BFBFBF"/>
      <rgbColor rgb="FF878787"/>
      <rgbColor rgb="FF9999FF"/>
      <rgbColor rgb="FFC0504D"/>
      <rgbColor rgb="FFFFF2CC"/>
      <rgbColor rgb="FFF2F2F2"/>
      <rgbColor rgb="FF660066"/>
      <rgbColor rgb="FFFF8080"/>
      <rgbColor rgb="FF1A527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E0E0"/>
      <rgbColor rgb="FF4F81BD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E4A7A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Fraud Risk Score: Satyam vs Infosys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Satyam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Dashboard!$A$14:$A$21</c:f>
              <c:strCache>
                <c:ptCount val="8"/>
                <c:pt idx="0">
                  <c:v>Cash Anomaly</c:v>
                </c:pt>
                <c:pt idx="1">
                  <c:v>Receivables</c:v>
                </c:pt>
                <c:pt idx="2">
                  <c:v>Interest Inc.</c:v>
                </c:pt>
                <c:pt idx="3">
                  <c:v>Headcount</c:v>
                </c:pt>
                <c:pt idx="4">
                  <c:v>Share Pledge</c:v>
                </c:pt>
                <c:pt idx="5">
                  <c:v>Related Party</c:v>
                </c:pt>
                <c:pt idx="6">
                  <c:v>Auditor Fee</c:v>
                </c:pt>
                <c:pt idx="7">
                  <c:v>Board Quality</c:v>
                </c:pt>
              </c:strCache>
            </c:strRef>
          </c:cat>
          <c:val>
            <c:numRef>
              <c:f>Dashboard!$B$14:$B$21</c:f>
              <c:numCache>
                <c:formatCode>0.0</c:formatCode>
                <c:ptCount val="8"/>
                <c:pt idx="0">
                  <c:v>9.5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4-4848-84ED-54AA45250DA8}"/>
            </c:ext>
          </c:extLst>
        </c:ser>
        <c:ser>
          <c:idx val="1"/>
          <c:order val="1"/>
          <c:tx>
            <c:v>Infosys</c:v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Dashboard!$A$14:$A$21</c:f>
              <c:strCache>
                <c:ptCount val="8"/>
                <c:pt idx="0">
                  <c:v>Cash Anomaly</c:v>
                </c:pt>
                <c:pt idx="1">
                  <c:v>Receivables</c:v>
                </c:pt>
                <c:pt idx="2">
                  <c:v>Interest Inc.</c:v>
                </c:pt>
                <c:pt idx="3">
                  <c:v>Headcount</c:v>
                </c:pt>
                <c:pt idx="4">
                  <c:v>Share Pledge</c:v>
                </c:pt>
                <c:pt idx="5">
                  <c:v>Related Party</c:v>
                </c:pt>
                <c:pt idx="6">
                  <c:v>Auditor Fee</c:v>
                </c:pt>
                <c:pt idx="7">
                  <c:v>Board Quality</c:v>
                </c:pt>
              </c:strCache>
            </c:strRef>
          </c:cat>
          <c:val>
            <c:numRef>
              <c:f>Dashboard!$C$14:$C$21</c:f>
              <c:numCache>
                <c:formatCode>0.0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1.5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4-4848-84ED-54AA45250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94572"/>
        <c:axId val="64259113"/>
      </c:barChart>
      <c:catAx>
        <c:axId val="816945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Red Flag Indicator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59113"/>
        <c:crosses val="autoZero"/>
        <c:auto val="1"/>
        <c:lblAlgn val="ctr"/>
        <c:lblOffset val="100"/>
        <c:noMultiLvlLbl val="0"/>
      </c:catAx>
      <c:valAx>
        <c:axId val="64259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 (0-10)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94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403413</xdr:colOff>
      <xdr:row>0</xdr:row>
      <xdr:rowOff>161365</xdr:rowOff>
    </xdr:from>
    <xdr:to>
      <xdr:col>27</xdr:col>
      <xdr:colOff>186833</xdr:colOff>
      <xdr:row>19</xdr:row>
      <xdr:rowOff>127010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35" style="1" customWidth="1"/>
    <col min="2" max="4" width="12" style="1" customWidth="1"/>
    <col min="5" max="8" width="16" style="1" customWidth="1"/>
    <col min="9" max="9" width="28" style="1" customWidth="1"/>
  </cols>
  <sheetData>
    <row r="1" spans="1:10" ht="39.75" customHeight="1" x14ac:dyDescent="0.3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15.75" customHeight="1" x14ac:dyDescent="0.3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</row>
    <row r="4" spans="1:10" ht="15" customHeight="1" x14ac:dyDescent="0.3">
      <c r="A4" s="66" t="s">
        <v>2</v>
      </c>
      <c r="B4" s="66"/>
      <c r="C4" s="66"/>
      <c r="D4" s="66"/>
      <c r="E4" s="66"/>
      <c r="F4" s="66"/>
      <c r="G4" s="66"/>
      <c r="H4" s="66"/>
      <c r="I4" s="66"/>
      <c r="J4" s="66"/>
    </row>
    <row r="5" spans="1:10" ht="15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10" ht="15" customHeight="1" x14ac:dyDescent="0.3">
      <c r="A6" s="3" t="s">
        <v>12</v>
      </c>
      <c r="B6" s="4">
        <v>3546.78</v>
      </c>
      <c r="C6" s="4">
        <v>5012.22</v>
      </c>
      <c r="D6" s="4">
        <v>6228.47</v>
      </c>
      <c r="E6" s="4">
        <v>8137.28</v>
      </c>
      <c r="F6" s="5">
        <f t="shared" ref="F6:H11" si="0">IFERROR((C6-B6)/B6,"")</f>
        <v>0.41317476697173211</v>
      </c>
      <c r="G6" s="5">
        <f t="shared" si="0"/>
        <v>0.2426569464229423</v>
      </c>
      <c r="H6" s="5">
        <f t="shared" si="0"/>
        <v>0.30646531170576391</v>
      </c>
      <c r="I6" s="6"/>
    </row>
    <row r="7" spans="1:10" ht="15" customHeight="1" x14ac:dyDescent="0.3">
      <c r="A7" s="7" t="s">
        <v>13</v>
      </c>
      <c r="B7" s="4">
        <v>86.5</v>
      </c>
      <c r="C7" s="4">
        <v>176.8</v>
      </c>
      <c r="D7" s="4">
        <v>181.61</v>
      </c>
      <c r="E7" s="4">
        <v>257.2</v>
      </c>
      <c r="F7" s="5">
        <f t="shared" si="0"/>
        <v>1.0439306358381504</v>
      </c>
      <c r="G7" s="5">
        <f t="shared" si="0"/>
        <v>2.7205882352941187E-2</v>
      </c>
      <c r="H7" s="5">
        <f t="shared" si="0"/>
        <v>0.4162215737018885</v>
      </c>
      <c r="I7" s="6"/>
    </row>
    <row r="8" spans="1:10" ht="15" customHeight="1" x14ac:dyDescent="0.3">
      <c r="A8" s="3" t="s">
        <v>14</v>
      </c>
      <c r="B8" s="4">
        <v>3546.78</v>
      </c>
      <c r="C8" s="4">
        <v>5012.22</v>
      </c>
      <c r="D8" s="4">
        <v>6410.08</v>
      </c>
      <c r="E8" s="4">
        <v>8394.48</v>
      </c>
      <c r="F8" s="5">
        <f t="shared" si="0"/>
        <v>0.41317476697173211</v>
      </c>
      <c r="G8" s="5">
        <f t="shared" si="0"/>
        <v>0.27889039188223974</v>
      </c>
      <c r="H8" s="5">
        <f t="shared" si="0"/>
        <v>0.30957491950178462</v>
      </c>
      <c r="I8" s="6" t="s">
        <v>15</v>
      </c>
    </row>
    <row r="9" spans="1:10" ht="15" customHeight="1" x14ac:dyDescent="0.3">
      <c r="A9" s="7" t="s">
        <v>16</v>
      </c>
      <c r="B9" s="4">
        <v>971.7</v>
      </c>
      <c r="C9" s="4">
        <v>1571.42</v>
      </c>
      <c r="D9" s="4">
        <v>1710.73</v>
      </c>
      <c r="E9" s="4">
        <v>2085.7399999999998</v>
      </c>
      <c r="F9" s="5">
        <f t="shared" si="0"/>
        <v>0.61718637439538948</v>
      </c>
      <c r="G9" s="5">
        <f t="shared" si="0"/>
        <v>8.8652301739827633E-2</v>
      </c>
      <c r="H9" s="5">
        <f t="shared" si="0"/>
        <v>0.21921051247128404</v>
      </c>
      <c r="I9" s="6"/>
    </row>
    <row r="10" spans="1:10" ht="13.5" customHeight="1" x14ac:dyDescent="0.3">
      <c r="A10" s="3" t="s">
        <v>17</v>
      </c>
      <c r="B10" s="4">
        <v>750.26</v>
      </c>
      <c r="C10" s="4">
        <v>1239.75</v>
      </c>
      <c r="D10" s="4">
        <v>1423.23</v>
      </c>
      <c r="E10" s="4">
        <v>1715.74</v>
      </c>
      <c r="F10" s="5">
        <f t="shared" si="0"/>
        <v>0.65242715858502387</v>
      </c>
      <c r="G10" s="5">
        <f t="shared" si="0"/>
        <v>0.14799758015728978</v>
      </c>
      <c r="H10" s="5">
        <f t="shared" si="0"/>
        <v>0.2055254596937951</v>
      </c>
      <c r="I10" s="8" t="s">
        <v>18</v>
      </c>
    </row>
    <row r="11" spans="1:10" ht="15" customHeight="1" x14ac:dyDescent="0.3">
      <c r="A11" s="7" t="s">
        <v>19</v>
      </c>
      <c r="B11" s="4">
        <v>86.5</v>
      </c>
      <c r="C11" s="4">
        <v>176.8</v>
      </c>
      <c r="D11" s="4">
        <v>181.61</v>
      </c>
      <c r="E11" s="4">
        <v>257.2</v>
      </c>
      <c r="F11" s="5">
        <f t="shared" si="0"/>
        <v>1.0439306358381504</v>
      </c>
      <c r="G11" s="5">
        <f t="shared" si="0"/>
        <v>2.7205882352941187E-2</v>
      </c>
      <c r="H11" s="5">
        <f t="shared" si="0"/>
        <v>0.4162215737018885</v>
      </c>
      <c r="I11" s="6"/>
    </row>
    <row r="12" spans="1:10" ht="15" customHeight="1" x14ac:dyDescent="0.3">
      <c r="A12" s="67" t="s">
        <v>20</v>
      </c>
      <c r="B12" s="67"/>
      <c r="C12" s="67"/>
      <c r="D12" s="67"/>
      <c r="E12" s="67"/>
      <c r="F12" s="67"/>
      <c r="G12" s="67"/>
      <c r="H12" s="67"/>
      <c r="I12" s="67"/>
      <c r="J12" s="67"/>
    </row>
    <row r="13" spans="1:10" ht="15" customHeight="1" x14ac:dyDescent="0.3">
      <c r="A13" s="2" t="s">
        <v>3</v>
      </c>
      <c r="B13" s="2" t="s">
        <v>4</v>
      </c>
      <c r="C13" s="2" t="s">
        <v>5</v>
      </c>
      <c r="D13" s="2" t="s">
        <v>6</v>
      </c>
      <c r="E13" s="2" t="s">
        <v>21</v>
      </c>
      <c r="F13" s="2" t="s">
        <v>22</v>
      </c>
      <c r="G13" s="2" t="s">
        <v>23</v>
      </c>
      <c r="H13" s="2" t="s">
        <v>24</v>
      </c>
      <c r="I13" s="2" t="s">
        <v>25</v>
      </c>
    </row>
    <row r="14" spans="1:10" ht="15" customHeight="1" x14ac:dyDescent="0.3">
      <c r="A14" s="3" t="s">
        <v>26</v>
      </c>
      <c r="B14" s="4">
        <v>651.41</v>
      </c>
      <c r="C14" s="4">
        <v>956.29</v>
      </c>
      <c r="D14" s="4">
        <v>651.41</v>
      </c>
      <c r="E14" s="4">
        <v>5361</v>
      </c>
      <c r="F14" s="9">
        <v>321</v>
      </c>
      <c r="G14" s="10">
        <f t="shared" ref="G14:G19" si="1">E14-F14</f>
        <v>5040</v>
      </c>
      <c r="H14" s="11">
        <f t="shared" ref="H14:H19" si="2">IFERROR(G14/F14,"")</f>
        <v>15.700934579439252</v>
      </c>
      <c r="I14" s="12" t="s">
        <v>27</v>
      </c>
    </row>
    <row r="15" spans="1:10" ht="15" customHeight="1" x14ac:dyDescent="0.3">
      <c r="A15" s="3" t="s">
        <v>28</v>
      </c>
      <c r="B15" s="4">
        <v>1230</v>
      </c>
      <c r="C15" s="4">
        <v>1570.45</v>
      </c>
      <c r="D15" s="4">
        <v>1649.86</v>
      </c>
      <c r="E15" s="4">
        <v>2223.41</v>
      </c>
      <c r="F15" s="9">
        <v>1733.41</v>
      </c>
      <c r="G15" s="10">
        <f t="shared" si="1"/>
        <v>489.99999999999977</v>
      </c>
      <c r="H15" s="11">
        <f t="shared" si="2"/>
        <v>0.28267980454710645</v>
      </c>
      <c r="I15" s="12" t="s">
        <v>27</v>
      </c>
    </row>
    <row r="16" spans="1:10" ht="15" customHeight="1" x14ac:dyDescent="0.3">
      <c r="A16" s="3" t="s">
        <v>29</v>
      </c>
      <c r="B16" s="4">
        <v>3272.82</v>
      </c>
      <c r="C16" s="4">
        <v>4468.97</v>
      </c>
      <c r="D16" s="4">
        <v>5936.26</v>
      </c>
      <c r="E16" s="4">
        <v>7357.74</v>
      </c>
      <c r="F16" s="9">
        <v>2617.7399999999998</v>
      </c>
      <c r="G16" s="10">
        <f t="shared" si="1"/>
        <v>4740</v>
      </c>
      <c r="H16" s="11">
        <f t="shared" si="2"/>
        <v>1.8107222260423115</v>
      </c>
      <c r="I16" s="6"/>
    </row>
    <row r="17" spans="1:10" ht="15" customHeight="1" x14ac:dyDescent="0.3">
      <c r="A17" s="3" t="s">
        <v>30</v>
      </c>
      <c r="B17" s="4">
        <v>3153.17</v>
      </c>
      <c r="C17" s="4">
        <v>4268.75</v>
      </c>
      <c r="D17" s="4">
        <v>5648.07</v>
      </c>
      <c r="E17" s="4">
        <v>7221.71</v>
      </c>
      <c r="F17" s="9">
        <v>2181.71</v>
      </c>
      <c r="G17" s="10">
        <f t="shared" si="1"/>
        <v>5040</v>
      </c>
      <c r="H17" s="11">
        <f t="shared" si="2"/>
        <v>2.3101145431794325</v>
      </c>
      <c r="I17" s="6"/>
    </row>
    <row r="18" spans="1:10" ht="15" customHeight="1" x14ac:dyDescent="0.3">
      <c r="A18" s="3" t="s">
        <v>31</v>
      </c>
      <c r="B18" s="4">
        <v>2517.52</v>
      </c>
      <c r="C18" s="4">
        <v>3153.17</v>
      </c>
      <c r="D18" s="4">
        <v>5648.07</v>
      </c>
      <c r="E18" s="4">
        <v>7221.71</v>
      </c>
      <c r="F18" s="9">
        <v>1381.71</v>
      </c>
      <c r="G18" s="10">
        <f t="shared" si="1"/>
        <v>5840</v>
      </c>
      <c r="H18" s="11">
        <f t="shared" si="2"/>
        <v>4.2266466914186047</v>
      </c>
      <c r="I18" s="6"/>
    </row>
    <row r="19" spans="1:10" ht="15" customHeight="1" x14ac:dyDescent="0.3">
      <c r="A19" s="3" t="s">
        <v>32</v>
      </c>
      <c r="B19" s="13">
        <v>19164</v>
      </c>
      <c r="C19" s="13">
        <v>26511</v>
      </c>
      <c r="D19" s="13">
        <v>35670</v>
      </c>
      <c r="E19" s="13">
        <v>53000</v>
      </c>
      <c r="F19" s="14">
        <v>40000</v>
      </c>
      <c r="G19" s="10">
        <f t="shared" si="1"/>
        <v>13000</v>
      </c>
      <c r="H19" s="11">
        <f t="shared" si="2"/>
        <v>0.32500000000000001</v>
      </c>
      <c r="I19" s="15" t="s">
        <v>33</v>
      </c>
    </row>
    <row r="20" spans="1:10" ht="15" customHeight="1" x14ac:dyDescent="0.3">
      <c r="A20" s="6"/>
      <c r="B20" s="6"/>
      <c r="C20" s="6"/>
      <c r="D20" s="6"/>
      <c r="E20" s="6"/>
      <c r="F20" s="6"/>
      <c r="G20" s="6"/>
      <c r="H20" s="6"/>
      <c r="I20" s="6"/>
    </row>
    <row r="21" spans="1:10" ht="15" customHeight="1" x14ac:dyDescent="0.3">
      <c r="A21" s="52" t="s">
        <v>34</v>
      </c>
      <c r="B21" s="52"/>
      <c r="C21" s="52"/>
      <c r="D21" s="52"/>
      <c r="E21" s="52"/>
      <c r="F21" s="52"/>
      <c r="G21" s="52"/>
      <c r="H21" s="52"/>
      <c r="I21" s="52"/>
      <c r="J21" s="52"/>
    </row>
    <row r="23" spans="1:10" ht="15" customHeight="1" x14ac:dyDescent="0.3">
      <c r="A23" s="66" t="s">
        <v>35</v>
      </c>
      <c r="B23" s="66"/>
      <c r="C23" s="66"/>
      <c r="D23" s="66"/>
      <c r="E23" s="66"/>
      <c r="F23" s="66"/>
      <c r="G23" s="66"/>
      <c r="H23" s="66"/>
      <c r="I23" s="66"/>
      <c r="J23" s="66"/>
    </row>
    <row r="24" spans="1:10" ht="15" customHeight="1" x14ac:dyDescent="0.3">
      <c r="A24" s="16" t="s">
        <v>3</v>
      </c>
      <c r="B24" s="16" t="s">
        <v>4</v>
      </c>
      <c r="C24" s="16" t="s">
        <v>5</v>
      </c>
      <c r="D24" s="16" t="s">
        <v>6</v>
      </c>
      <c r="E24" s="16" t="s">
        <v>7</v>
      </c>
      <c r="F24" s="16" t="s">
        <v>11</v>
      </c>
      <c r="G24" s="6"/>
    </row>
    <row r="25" spans="1:10" ht="15" customHeight="1" x14ac:dyDescent="0.3">
      <c r="A25" s="7" t="s">
        <v>12</v>
      </c>
      <c r="B25" s="17">
        <v>6919</v>
      </c>
      <c r="C25" s="17">
        <v>9521</v>
      </c>
      <c r="D25" s="17">
        <v>13149</v>
      </c>
      <c r="E25" s="17">
        <v>16692</v>
      </c>
      <c r="F25" s="6"/>
      <c r="G25" s="18" t="s">
        <v>36</v>
      </c>
    </row>
    <row r="26" spans="1:10" ht="15" customHeight="1" x14ac:dyDescent="0.3">
      <c r="A26" s="7" t="s">
        <v>17</v>
      </c>
      <c r="B26" s="17">
        <v>1641</v>
      </c>
      <c r="C26" s="17">
        <v>2421</v>
      </c>
      <c r="D26" s="17">
        <v>3783</v>
      </c>
      <c r="E26" s="17">
        <v>4659</v>
      </c>
      <c r="F26" s="6"/>
      <c r="G26" s="18" t="s">
        <v>36</v>
      </c>
    </row>
    <row r="27" spans="1:10" ht="15" customHeight="1" x14ac:dyDescent="0.3">
      <c r="A27" s="7" t="s">
        <v>26</v>
      </c>
      <c r="B27" s="17">
        <v>4234</v>
      </c>
      <c r="C27" s="17">
        <v>5853</v>
      </c>
      <c r="D27" s="17">
        <v>8183</v>
      </c>
      <c r="E27" s="17">
        <v>9828</v>
      </c>
      <c r="F27" s="6"/>
      <c r="G27" s="18" t="s">
        <v>36</v>
      </c>
    </row>
    <row r="28" spans="1:10" ht="15" customHeight="1" x14ac:dyDescent="0.3">
      <c r="A28" s="7" t="s">
        <v>28</v>
      </c>
      <c r="B28" s="17">
        <v>1147</v>
      </c>
      <c r="C28" s="17">
        <v>1576</v>
      </c>
      <c r="D28" s="17">
        <v>2100</v>
      </c>
      <c r="E28" s="17">
        <v>2717</v>
      </c>
      <c r="F28" s="6"/>
      <c r="G28" s="18" t="s">
        <v>36</v>
      </c>
    </row>
    <row r="29" spans="1:10" ht="15" customHeight="1" x14ac:dyDescent="0.3">
      <c r="A29" s="7" t="s">
        <v>32</v>
      </c>
      <c r="B29" s="19">
        <v>36750</v>
      </c>
      <c r="C29" s="19">
        <v>52715</v>
      </c>
      <c r="D29" s="19">
        <v>72241</v>
      </c>
      <c r="E29" s="19">
        <v>105453</v>
      </c>
      <c r="F29" s="6"/>
      <c r="G29" s="18" t="s">
        <v>36</v>
      </c>
    </row>
    <row r="30" spans="1:10" ht="15" customHeight="1" x14ac:dyDescent="0.3">
      <c r="A30" s="7" t="s">
        <v>37</v>
      </c>
      <c r="B30" s="20">
        <v>0.23699999999999999</v>
      </c>
      <c r="C30" s="20">
        <v>0.254</v>
      </c>
      <c r="D30" s="20">
        <v>0.28799999999999998</v>
      </c>
      <c r="E30" s="20">
        <v>0.27900000000000003</v>
      </c>
      <c r="F30" s="6"/>
      <c r="G30" s="18" t="s">
        <v>36</v>
      </c>
    </row>
  </sheetData>
  <mergeCells count="6">
    <mergeCell ref="A23:J23"/>
    <mergeCell ref="A1:J1"/>
    <mergeCell ref="A2:J2"/>
    <mergeCell ref="A4:J4"/>
    <mergeCell ref="A12:J12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30" style="1" customWidth="1"/>
    <col min="2" max="2" width="12" style="1" customWidth="1"/>
    <col min="3" max="6" width="10" style="1" customWidth="1"/>
    <col min="7" max="7" width="8" style="1" customWidth="1"/>
    <col min="8" max="8" width="20" style="1" customWidth="1"/>
    <col min="9" max="9" width="45" style="1" customWidth="1"/>
  </cols>
  <sheetData>
    <row r="1" spans="1:11" ht="17.25" customHeight="1" x14ac:dyDescent="0.3">
      <c r="A1" s="64" t="s">
        <v>38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15" customHeight="1" x14ac:dyDescent="0.3">
      <c r="A2" s="51" t="s">
        <v>39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15" customHeight="1" x14ac:dyDescent="0.3">
      <c r="A3" s="2" t="s">
        <v>40</v>
      </c>
      <c r="B3" s="2" t="s">
        <v>41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42</v>
      </c>
      <c r="H3" s="2" t="s">
        <v>43</v>
      </c>
      <c r="I3" s="2" t="s">
        <v>44</v>
      </c>
    </row>
    <row r="4" spans="1:11" ht="21.75" customHeight="1" x14ac:dyDescent="0.3">
      <c r="A4" s="3" t="s">
        <v>37</v>
      </c>
      <c r="B4" s="21" t="s">
        <v>45</v>
      </c>
      <c r="C4" s="22">
        <v>0.21160000000000001</v>
      </c>
      <c r="D4" s="22">
        <v>0.24740000000000001</v>
      </c>
      <c r="E4" s="22">
        <v>0.222</v>
      </c>
      <c r="F4" s="22">
        <v>0.2044</v>
      </c>
      <c r="G4" s="6" t="s">
        <v>46</v>
      </c>
      <c r="H4" s="6" t="s">
        <v>47</v>
      </c>
      <c r="I4" s="23" t="s">
        <v>48</v>
      </c>
    </row>
    <row r="5" spans="1:11" ht="21.75" customHeight="1" x14ac:dyDescent="0.3">
      <c r="A5" s="3" t="s">
        <v>49</v>
      </c>
      <c r="B5" s="21" t="s">
        <v>45</v>
      </c>
      <c r="C5" s="22">
        <v>0.27400000000000002</v>
      </c>
      <c r="D5" s="22">
        <v>0.3135</v>
      </c>
      <c r="E5" s="22">
        <v>0.26690000000000003</v>
      </c>
      <c r="F5" s="22">
        <v>0.2485</v>
      </c>
      <c r="G5" s="6" t="s">
        <v>46</v>
      </c>
      <c r="H5" s="24" t="s">
        <v>50</v>
      </c>
      <c r="I5" s="23" t="s">
        <v>51</v>
      </c>
    </row>
    <row r="6" spans="1:11" ht="15" customHeight="1" x14ac:dyDescent="0.3">
      <c r="A6" s="7" t="s">
        <v>49</v>
      </c>
      <c r="B6" s="25" t="s">
        <v>52</v>
      </c>
      <c r="C6" s="20">
        <v>0.28999999999999998</v>
      </c>
      <c r="D6" s="20">
        <v>0.31</v>
      </c>
      <c r="E6" s="20">
        <v>0.30499999999999999</v>
      </c>
      <c r="F6" s="20">
        <v>0.30199999999999999</v>
      </c>
      <c r="G6" s="6" t="s">
        <v>53</v>
      </c>
      <c r="H6" s="24" t="s">
        <v>54</v>
      </c>
      <c r="I6" s="6"/>
    </row>
    <row r="7" spans="1:11" ht="15" customHeight="1" x14ac:dyDescent="0.3">
      <c r="A7" s="6"/>
      <c r="B7" s="6"/>
      <c r="C7" s="6"/>
      <c r="D7" s="6"/>
      <c r="E7" s="6"/>
      <c r="F7" s="6"/>
      <c r="G7" s="6"/>
      <c r="H7" s="6"/>
      <c r="I7" s="6"/>
    </row>
    <row r="8" spans="1:11" ht="15" customHeight="1" x14ac:dyDescent="0.3">
      <c r="A8" s="6"/>
      <c r="B8" s="6"/>
      <c r="C8" s="6"/>
      <c r="D8" s="6"/>
      <c r="E8" s="6"/>
      <c r="F8" s="6"/>
      <c r="G8" s="6"/>
      <c r="H8" s="6"/>
      <c r="I8" s="6"/>
    </row>
    <row r="9" spans="1:11" ht="15" customHeight="1" x14ac:dyDescent="0.3">
      <c r="A9" s="2" t="s">
        <v>40</v>
      </c>
      <c r="B9" s="2" t="s">
        <v>41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42</v>
      </c>
      <c r="H9" s="2" t="s">
        <v>43</v>
      </c>
      <c r="I9" s="2" t="s">
        <v>44</v>
      </c>
    </row>
    <row r="10" spans="1:11" ht="21.75" customHeight="1" x14ac:dyDescent="0.3">
      <c r="A10" s="3" t="s">
        <v>55</v>
      </c>
      <c r="B10" s="21" t="s">
        <v>45</v>
      </c>
      <c r="C10" s="9">
        <v>0.20649999999999999</v>
      </c>
      <c r="D10" s="9">
        <v>0.22409999999999999</v>
      </c>
      <c r="E10" s="9">
        <v>0.1153</v>
      </c>
      <c r="F10" s="9">
        <v>0.74270000000000003</v>
      </c>
      <c r="G10" s="6" t="s">
        <v>53</v>
      </c>
      <c r="H10" s="12" t="s">
        <v>56</v>
      </c>
      <c r="I10" s="23" t="s">
        <v>57</v>
      </c>
    </row>
    <row r="11" spans="1:11" ht="21.75" customHeight="1" x14ac:dyDescent="0.3">
      <c r="A11" s="3" t="s">
        <v>58</v>
      </c>
      <c r="B11" s="21" t="s">
        <v>45</v>
      </c>
      <c r="C11" s="9">
        <v>0.3468</v>
      </c>
      <c r="D11" s="9">
        <v>0.31330000000000002</v>
      </c>
      <c r="E11" s="9">
        <v>0.26490000000000002</v>
      </c>
      <c r="F11" s="9">
        <v>0.27329999999999999</v>
      </c>
      <c r="G11" s="6" t="s">
        <v>46</v>
      </c>
      <c r="H11" s="24" t="s">
        <v>59</v>
      </c>
      <c r="I11" s="23" t="s">
        <v>60</v>
      </c>
    </row>
    <row r="12" spans="1:11" ht="21.75" customHeight="1" x14ac:dyDescent="0.3">
      <c r="A12" s="3" t="s">
        <v>61</v>
      </c>
      <c r="B12" s="21" t="s">
        <v>45</v>
      </c>
      <c r="C12" s="9">
        <v>0.1328</v>
      </c>
      <c r="D12" s="9">
        <v>0.18490000000000001</v>
      </c>
      <c r="E12" s="9">
        <v>0.27889999999999998</v>
      </c>
      <c r="F12" s="9">
        <v>4.8000000000000001E-2</v>
      </c>
      <c r="G12" s="6" t="s">
        <v>46</v>
      </c>
      <c r="H12" s="12" t="s">
        <v>56</v>
      </c>
      <c r="I12" s="23" t="s">
        <v>62</v>
      </c>
    </row>
    <row r="13" spans="1:11" ht="15" customHeight="1" x14ac:dyDescent="0.3">
      <c r="A13" s="7" t="s">
        <v>61</v>
      </c>
      <c r="B13" s="25" t="s">
        <v>52</v>
      </c>
      <c r="C13" s="17">
        <v>6.5000000000000002E-2</v>
      </c>
      <c r="D13" s="17">
        <v>6.3E-2</v>
      </c>
      <c r="E13" s="17">
        <v>5.8000000000000003E-2</v>
      </c>
      <c r="F13" s="17">
        <v>0.06</v>
      </c>
      <c r="G13" s="6" t="s">
        <v>46</v>
      </c>
      <c r="H13" s="24" t="s">
        <v>54</v>
      </c>
      <c r="I13" s="6"/>
    </row>
    <row r="14" spans="1:11" ht="15" customHeight="1" x14ac:dyDescent="0.3">
      <c r="A14" s="6"/>
      <c r="B14" s="6"/>
      <c r="C14" s="6"/>
      <c r="D14" s="6"/>
      <c r="E14" s="6"/>
      <c r="F14" s="6"/>
      <c r="G14" s="6"/>
      <c r="H14" s="6"/>
      <c r="I14" s="6"/>
    </row>
    <row r="15" spans="1:11" ht="15" customHeight="1" x14ac:dyDescent="0.3">
      <c r="A15" s="2" t="s">
        <v>40</v>
      </c>
      <c r="B15" s="2" t="s">
        <v>41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42</v>
      </c>
      <c r="H15" s="2" t="s">
        <v>43</v>
      </c>
      <c r="I15" s="2" t="s">
        <v>44</v>
      </c>
    </row>
    <row r="16" spans="1:11" ht="21.75" customHeight="1" x14ac:dyDescent="0.3">
      <c r="A16" s="3" t="s">
        <v>63</v>
      </c>
      <c r="B16" s="21" t="s">
        <v>45</v>
      </c>
      <c r="C16" s="9">
        <v>18.510000000000002</v>
      </c>
      <c r="D16" s="9">
        <v>18.91</v>
      </c>
      <c r="E16" s="9">
        <v>17.47</v>
      </c>
      <c r="F16" s="9">
        <v>15.35</v>
      </c>
      <c r="G16" s="6" t="s">
        <v>46</v>
      </c>
      <c r="H16" s="6" t="s">
        <v>47</v>
      </c>
      <c r="I16" s="23" t="s">
        <v>64</v>
      </c>
    </row>
    <row r="17" spans="1:9" ht="21.75" customHeight="1" x14ac:dyDescent="0.3">
      <c r="A17" s="3" t="s">
        <v>65</v>
      </c>
      <c r="B17" s="21" t="s">
        <v>45</v>
      </c>
      <c r="C17" s="22">
        <v>0</v>
      </c>
      <c r="D17" s="22">
        <v>0</v>
      </c>
      <c r="E17" s="22">
        <v>0</v>
      </c>
      <c r="F17" s="22">
        <v>0.94010000000000005</v>
      </c>
      <c r="G17" s="6" t="s">
        <v>53</v>
      </c>
      <c r="H17" s="12" t="s">
        <v>66</v>
      </c>
      <c r="I17" s="23" t="s">
        <v>67</v>
      </c>
    </row>
    <row r="18" spans="1:9" ht="15" customHeight="1" x14ac:dyDescent="0.3">
      <c r="A18" s="7" t="s">
        <v>65</v>
      </c>
      <c r="B18" s="25" t="s">
        <v>52</v>
      </c>
      <c r="C18" s="20">
        <v>0</v>
      </c>
      <c r="D18" s="20">
        <v>0</v>
      </c>
      <c r="E18" s="20">
        <v>0</v>
      </c>
      <c r="F18" s="20">
        <v>0</v>
      </c>
      <c r="G18" s="6" t="s">
        <v>46</v>
      </c>
      <c r="H18" s="24" t="s">
        <v>54</v>
      </c>
      <c r="I18" s="6"/>
    </row>
    <row r="19" spans="1:9" ht="15" customHeight="1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ht="15" customHeight="1" x14ac:dyDescent="0.3">
      <c r="A20" s="6"/>
      <c r="B20" s="6"/>
      <c r="C20" s="6"/>
      <c r="D20" s="6"/>
      <c r="E20" s="6"/>
      <c r="F20" s="6"/>
      <c r="G20" s="6"/>
      <c r="H20" s="6"/>
      <c r="I20" s="6"/>
    </row>
    <row r="21" spans="1:9" ht="15" customHeight="1" x14ac:dyDescent="0.3">
      <c r="A21" s="2" t="s">
        <v>40</v>
      </c>
      <c r="B21" s="2" t="s">
        <v>41</v>
      </c>
      <c r="C21" s="2" t="s">
        <v>4</v>
      </c>
      <c r="D21" s="2" t="s">
        <v>5</v>
      </c>
      <c r="E21" s="2" t="s">
        <v>6</v>
      </c>
      <c r="F21" s="2" t="s">
        <v>7</v>
      </c>
      <c r="G21" s="2" t="s">
        <v>42</v>
      </c>
      <c r="H21" s="2" t="s">
        <v>43</v>
      </c>
      <c r="I21" s="2" t="s">
        <v>44</v>
      </c>
    </row>
    <row r="22" spans="1:9" ht="21.75" customHeight="1" x14ac:dyDescent="0.3">
      <c r="A22" s="3" t="s">
        <v>68</v>
      </c>
      <c r="B22" s="21" t="s">
        <v>45</v>
      </c>
      <c r="C22" s="22">
        <v>0.36399999999999999</v>
      </c>
      <c r="D22" s="22">
        <v>0.38300000000000001</v>
      </c>
      <c r="E22" s="22">
        <v>0.34599999999999997</v>
      </c>
      <c r="F22" s="22">
        <v>0.48599999999999999</v>
      </c>
      <c r="G22" s="6" t="s">
        <v>53</v>
      </c>
      <c r="H22" s="6" t="s">
        <v>69</v>
      </c>
      <c r="I22" s="23" t="s">
        <v>70</v>
      </c>
    </row>
    <row r="23" spans="1:9" ht="15" customHeight="1" x14ac:dyDescent="0.3">
      <c r="A23" s="7" t="s">
        <v>68</v>
      </c>
      <c r="B23" s="25" t="s">
        <v>52</v>
      </c>
      <c r="C23" s="20">
        <v>0.3</v>
      </c>
      <c r="D23" s="20">
        <v>0.435</v>
      </c>
      <c r="E23" s="20">
        <v>0.37</v>
      </c>
      <c r="F23" s="20">
        <v>0.46</v>
      </c>
      <c r="G23" s="6" t="s">
        <v>53</v>
      </c>
      <c r="H23" s="24" t="s">
        <v>54</v>
      </c>
      <c r="I23" s="6"/>
    </row>
    <row r="24" spans="1:9" ht="15" customHeight="1" x14ac:dyDescent="0.3">
      <c r="A24" s="6"/>
      <c r="B24" s="6"/>
      <c r="C24" s="6"/>
      <c r="D24" s="6"/>
      <c r="E24" s="6"/>
      <c r="F24" s="6"/>
      <c r="G24" s="6"/>
      <c r="H24" s="6"/>
      <c r="I24" s="6"/>
    </row>
    <row r="25" spans="1:9" ht="15" customHeight="1" x14ac:dyDescent="0.3">
      <c r="A25" s="6"/>
      <c r="B25" s="6"/>
      <c r="C25" s="6"/>
      <c r="D25" s="6"/>
      <c r="E25" s="6"/>
      <c r="F25" s="6"/>
      <c r="G25" s="6"/>
      <c r="H25" s="6"/>
      <c r="I25" s="6"/>
    </row>
    <row r="26" spans="1:9" ht="15" customHeight="1" x14ac:dyDescent="0.3">
      <c r="A26" s="6"/>
      <c r="B26" s="6"/>
      <c r="C26" s="6"/>
      <c r="D26" s="6"/>
      <c r="E26" s="6"/>
      <c r="F26" s="6"/>
      <c r="G26" s="6"/>
      <c r="H26" s="6"/>
      <c r="I26" s="6"/>
    </row>
    <row r="27" spans="1:9" ht="15" customHeight="1" x14ac:dyDescent="0.3">
      <c r="A27" s="6"/>
      <c r="B27" s="6"/>
      <c r="C27" s="6"/>
      <c r="D27" s="6"/>
      <c r="E27" s="6"/>
      <c r="F27" s="6"/>
      <c r="G27" s="6"/>
      <c r="H27" s="6"/>
      <c r="I27" s="6"/>
    </row>
    <row r="28" spans="1:9" ht="15" customHeight="1" x14ac:dyDescent="0.3">
      <c r="A28" s="6"/>
      <c r="B28" s="6"/>
      <c r="C28" s="6"/>
      <c r="D28" s="6"/>
      <c r="E28" s="6"/>
      <c r="F28" s="6"/>
      <c r="G28" s="6"/>
      <c r="H28" s="6"/>
      <c r="I28" s="6"/>
    </row>
    <row r="29" spans="1:9" ht="15" customHeight="1" x14ac:dyDescent="0.3">
      <c r="A29" s="6"/>
      <c r="B29" s="6"/>
      <c r="C29" s="6"/>
      <c r="D29" s="6"/>
      <c r="E29" s="6"/>
      <c r="F29" s="6"/>
      <c r="G29" s="6"/>
      <c r="H29" s="6"/>
      <c r="I29" s="6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4" style="1" customWidth="1"/>
    <col min="2" max="2" width="32" style="1" customWidth="1"/>
    <col min="3" max="3" width="8" style="1" customWidth="1"/>
    <col min="4" max="5" width="14" style="1" customWidth="1"/>
    <col min="6" max="7" width="10" style="1" customWidth="1"/>
    <col min="8" max="8" width="40" style="1" customWidth="1"/>
    <col min="9" max="9" width="38" style="1" customWidth="1"/>
  </cols>
  <sheetData>
    <row r="1" spans="1:10" ht="17.25" customHeight="1" x14ac:dyDescent="0.3">
      <c r="A1" s="64" t="s">
        <v>71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15" customHeight="1" x14ac:dyDescent="0.3">
      <c r="A2" s="51" t="s">
        <v>72</v>
      </c>
      <c r="B2" s="51"/>
      <c r="C2" s="51"/>
      <c r="D2" s="51"/>
      <c r="E2" s="51"/>
      <c r="F2" s="51"/>
      <c r="G2" s="51"/>
      <c r="H2" s="51"/>
      <c r="I2" s="51"/>
      <c r="J2" s="51"/>
    </row>
    <row r="4" spans="1:10" ht="30" customHeight="1" x14ac:dyDescent="0.3">
      <c r="A4" s="26" t="s">
        <v>73</v>
      </c>
      <c r="B4" s="26" t="s">
        <v>74</v>
      </c>
      <c r="C4" s="26" t="s">
        <v>75</v>
      </c>
      <c r="D4" s="26" t="s">
        <v>76</v>
      </c>
      <c r="E4" s="26" t="s">
        <v>77</v>
      </c>
      <c r="F4" s="26" t="s">
        <v>78</v>
      </c>
      <c r="G4" s="26" t="s">
        <v>79</v>
      </c>
      <c r="H4" s="26" t="s">
        <v>80</v>
      </c>
      <c r="I4" s="26" t="s">
        <v>81</v>
      </c>
    </row>
    <row r="5" spans="1:10" ht="34.5" customHeight="1" x14ac:dyDescent="0.3">
      <c r="A5" s="27">
        <v>1</v>
      </c>
      <c r="B5" s="3" t="s">
        <v>82</v>
      </c>
      <c r="C5" s="28">
        <v>0.2</v>
      </c>
      <c r="D5" s="29">
        <v>9.5</v>
      </c>
      <c r="E5" s="30">
        <v>1</v>
      </c>
      <c r="F5" s="31">
        <f t="shared" ref="F5:F14" si="0">C5*D5</f>
        <v>1.9000000000000001</v>
      </c>
      <c r="G5" s="32">
        <f t="shared" ref="G5:G14" si="1">C5*E5</f>
        <v>0.2</v>
      </c>
      <c r="H5" s="23" t="s">
        <v>83</v>
      </c>
      <c r="I5" s="23" t="s">
        <v>84</v>
      </c>
    </row>
    <row r="6" spans="1:10" ht="34.5" customHeight="1" x14ac:dyDescent="0.3">
      <c r="A6" s="27">
        <v>2</v>
      </c>
      <c r="B6" s="3" t="s">
        <v>85</v>
      </c>
      <c r="C6" s="28">
        <v>0.15</v>
      </c>
      <c r="D6" s="29">
        <v>8</v>
      </c>
      <c r="E6" s="30">
        <v>2</v>
      </c>
      <c r="F6" s="31">
        <f t="shared" si="0"/>
        <v>1.2</v>
      </c>
      <c r="G6" s="32">
        <f t="shared" si="1"/>
        <v>0.3</v>
      </c>
      <c r="H6" s="23" t="s">
        <v>86</v>
      </c>
      <c r="I6" s="23" t="s">
        <v>87</v>
      </c>
    </row>
    <row r="7" spans="1:10" ht="34.5" customHeight="1" x14ac:dyDescent="0.3">
      <c r="A7" s="27">
        <v>3</v>
      </c>
      <c r="B7" s="3" t="s">
        <v>88</v>
      </c>
      <c r="C7" s="28">
        <v>0.15</v>
      </c>
      <c r="D7" s="29">
        <v>9</v>
      </c>
      <c r="E7" s="30">
        <v>1.5</v>
      </c>
      <c r="F7" s="31">
        <f t="shared" si="0"/>
        <v>1.3499999999999999</v>
      </c>
      <c r="G7" s="32">
        <f t="shared" si="1"/>
        <v>0.22499999999999998</v>
      </c>
      <c r="H7" s="23" t="s">
        <v>89</v>
      </c>
      <c r="I7" s="23" t="s">
        <v>90</v>
      </c>
    </row>
    <row r="8" spans="1:10" ht="34.5" customHeight="1" x14ac:dyDescent="0.3">
      <c r="A8" s="27">
        <v>4</v>
      </c>
      <c r="B8" s="3" t="s">
        <v>91</v>
      </c>
      <c r="C8" s="28">
        <v>0.1</v>
      </c>
      <c r="D8" s="29">
        <v>8</v>
      </c>
      <c r="E8" s="30">
        <v>2</v>
      </c>
      <c r="F8" s="31">
        <f t="shared" si="0"/>
        <v>0.8</v>
      </c>
      <c r="G8" s="32">
        <f t="shared" si="1"/>
        <v>0.2</v>
      </c>
      <c r="H8" s="23" t="s">
        <v>92</v>
      </c>
      <c r="I8" s="23" t="s">
        <v>93</v>
      </c>
    </row>
    <row r="9" spans="1:10" ht="34.5" customHeight="1" x14ac:dyDescent="0.3">
      <c r="A9" s="27">
        <v>5</v>
      </c>
      <c r="B9" s="3" t="s">
        <v>94</v>
      </c>
      <c r="C9" s="28">
        <v>0.1</v>
      </c>
      <c r="D9" s="29">
        <v>9</v>
      </c>
      <c r="E9" s="30">
        <v>1</v>
      </c>
      <c r="F9" s="31">
        <f t="shared" si="0"/>
        <v>0.9</v>
      </c>
      <c r="G9" s="32">
        <f t="shared" si="1"/>
        <v>0.1</v>
      </c>
      <c r="H9" s="23" t="s">
        <v>95</v>
      </c>
      <c r="I9" s="23" t="s">
        <v>96</v>
      </c>
    </row>
    <row r="10" spans="1:10" ht="34.5" customHeight="1" x14ac:dyDescent="0.3">
      <c r="A10" s="27">
        <v>6</v>
      </c>
      <c r="B10" s="3" t="s">
        <v>97</v>
      </c>
      <c r="C10" s="28">
        <v>0.1</v>
      </c>
      <c r="D10" s="29">
        <v>8</v>
      </c>
      <c r="E10" s="30">
        <v>2</v>
      </c>
      <c r="F10" s="31">
        <f t="shared" si="0"/>
        <v>0.8</v>
      </c>
      <c r="G10" s="32">
        <f t="shared" si="1"/>
        <v>0.2</v>
      </c>
      <c r="H10" s="23" t="s">
        <v>98</v>
      </c>
      <c r="I10" s="23" t="s">
        <v>99</v>
      </c>
    </row>
    <row r="11" spans="1:10" ht="34.5" customHeight="1" x14ac:dyDescent="0.3">
      <c r="A11" s="27">
        <v>7</v>
      </c>
      <c r="B11" s="3" t="s">
        <v>100</v>
      </c>
      <c r="C11" s="28">
        <v>0.08</v>
      </c>
      <c r="D11" s="33">
        <v>7</v>
      </c>
      <c r="E11" s="30">
        <v>2</v>
      </c>
      <c r="F11" s="31">
        <f t="shared" si="0"/>
        <v>0.56000000000000005</v>
      </c>
      <c r="G11" s="32">
        <f t="shared" si="1"/>
        <v>0.16</v>
      </c>
      <c r="H11" s="23" t="s">
        <v>101</v>
      </c>
      <c r="I11" s="23" t="s">
        <v>102</v>
      </c>
    </row>
    <row r="12" spans="1:10" ht="34.5" customHeight="1" x14ac:dyDescent="0.3">
      <c r="A12" s="27">
        <v>8</v>
      </c>
      <c r="B12" s="3" t="s">
        <v>103</v>
      </c>
      <c r="C12" s="28">
        <v>7.0000000000000007E-2</v>
      </c>
      <c r="D12" s="29">
        <v>8</v>
      </c>
      <c r="E12" s="30">
        <v>2.5</v>
      </c>
      <c r="F12" s="31">
        <f t="shared" si="0"/>
        <v>0.56000000000000005</v>
      </c>
      <c r="G12" s="32">
        <f t="shared" si="1"/>
        <v>0.17500000000000002</v>
      </c>
      <c r="H12" s="23" t="s">
        <v>104</v>
      </c>
      <c r="I12" s="23" t="s">
        <v>105</v>
      </c>
    </row>
    <row r="13" spans="1:10" ht="34.5" customHeight="1" x14ac:dyDescent="0.3">
      <c r="A13" s="27">
        <v>9</v>
      </c>
      <c r="B13" s="3" t="s">
        <v>106</v>
      </c>
      <c r="C13" s="28">
        <v>0.03</v>
      </c>
      <c r="D13" s="29">
        <v>9</v>
      </c>
      <c r="E13" s="30">
        <v>1</v>
      </c>
      <c r="F13" s="31">
        <f t="shared" si="0"/>
        <v>0.27</v>
      </c>
      <c r="G13" s="32">
        <f t="shared" si="1"/>
        <v>0.03</v>
      </c>
      <c r="H13" s="23" t="s">
        <v>107</v>
      </c>
      <c r="I13" s="23" t="s">
        <v>108</v>
      </c>
    </row>
    <row r="14" spans="1:10" ht="34.5" customHeight="1" x14ac:dyDescent="0.3">
      <c r="A14" s="27">
        <v>10</v>
      </c>
      <c r="B14" s="3" t="s">
        <v>109</v>
      </c>
      <c r="C14" s="28">
        <v>0.02</v>
      </c>
      <c r="D14" s="34">
        <v>5</v>
      </c>
      <c r="E14" s="30">
        <v>2</v>
      </c>
      <c r="F14" s="31">
        <f t="shared" si="0"/>
        <v>0.1</v>
      </c>
      <c r="G14" s="32">
        <f t="shared" si="1"/>
        <v>0.04</v>
      </c>
      <c r="H14" s="23" t="s">
        <v>110</v>
      </c>
      <c r="I14" s="23" t="s">
        <v>111</v>
      </c>
    </row>
    <row r="15" spans="1:10" ht="15" customHeight="1" x14ac:dyDescent="0.3">
      <c r="A15" s="53" t="s">
        <v>112</v>
      </c>
      <c r="B15" s="53"/>
      <c r="C15" s="53"/>
      <c r="D15" s="35">
        <f>SUM(F5:F14)</f>
        <v>8.44</v>
      </c>
      <c r="E15" s="36">
        <f>SUM(G5:G14)</f>
        <v>1.6300000000000001</v>
      </c>
      <c r="F15" s="54" t="s">
        <v>113</v>
      </c>
      <c r="G15" s="54"/>
      <c r="H15" s="54"/>
      <c r="I15" s="54"/>
    </row>
  </sheetData>
  <mergeCells count="4">
    <mergeCell ref="A1:J1"/>
    <mergeCell ref="A2:J2"/>
    <mergeCell ref="A15:C15"/>
    <mergeCell ref="F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32" style="1" customWidth="1"/>
    <col min="2" max="3" width="18" style="1" customWidth="1"/>
    <col min="4" max="5" width="16" style="1" customWidth="1"/>
    <col min="6" max="6" width="45" style="1" customWidth="1"/>
  </cols>
  <sheetData>
    <row r="1" spans="1:8" ht="17.25" customHeight="1" x14ac:dyDescent="0.3">
      <c r="A1" s="64" t="s">
        <v>114</v>
      </c>
      <c r="B1" s="64"/>
      <c r="C1" s="64"/>
      <c r="D1" s="64"/>
      <c r="E1" s="64"/>
      <c r="F1" s="64"/>
      <c r="G1" s="64"/>
      <c r="H1" s="64"/>
    </row>
    <row r="2" spans="1:8" ht="15" customHeight="1" x14ac:dyDescent="0.3">
      <c r="A2" s="51" t="s">
        <v>115</v>
      </c>
      <c r="B2" s="51"/>
      <c r="C2" s="51"/>
      <c r="D2" s="51"/>
      <c r="E2" s="51"/>
      <c r="F2" s="51"/>
      <c r="G2" s="51"/>
      <c r="H2" s="51"/>
    </row>
    <row r="4" spans="1:8" ht="15" customHeight="1" x14ac:dyDescent="0.3">
      <c r="A4" s="50" t="s">
        <v>116</v>
      </c>
      <c r="B4" s="50"/>
      <c r="C4" s="50"/>
      <c r="D4" s="50"/>
      <c r="E4" s="50"/>
      <c r="F4" s="50"/>
      <c r="G4" s="50"/>
      <c r="H4" s="50"/>
    </row>
    <row r="5" spans="1:8" ht="30" customHeight="1" x14ac:dyDescent="0.3">
      <c r="A5" s="26" t="s">
        <v>3</v>
      </c>
      <c r="B5" s="26" t="s">
        <v>117</v>
      </c>
      <c r="C5" s="26" t="s">
        <v>118</v>
      </c>
      <c r="D5" s="26" t="s">
        <v>119</v>
      </c>
      <c r="E5" s="26" t="s">
        <v>120</v>
      </c>
      <c r="F5" s="26" t="s">
        <v>121</v>
      </c>
      <c r="G5" s="26" t="s">
        <v>122</v>
      </c>
    </row>
    <row r="6" spans="1:8" ht="27.75" customHeight="1" x14ac:dyDescent="0.3">
      <c r="A6" s="3" t="s">
        <v>123</v>
      </c>
      <c r="B6" s="9">
        <v>5361</v>
      </c>
      <c r="C6" s="9">
        <v>-5040</v>
      </c>
      <c r="D6" s="17">
        <v>321</v>
      </c>
      <c r="E6" s="11">
        <f t="shared" ref="E6:E13" si="0">IFERROR((D6-B6)/ABS(B6),"")</f>
        <v>-0.94012311135982096</v>
      </c>
      <c r="F6" s="37"/>
      <c r="G6" s="38" t="s">
        <v>124</v>
      </c>
    </row>
    <row r="7" spans="1:8" ht="27.75" customHeight="1" x14ac:dyDescent="0.3">
      <c r="A7" s="3" t="s">
        <v>125</v>
      </c>
      <c r="B7" s="9">
        <v>376</v>
      </c>
      <c r="C7" s="9">
        <v>-376</v>
      </c>
      <c r="D7" s="17">
        <v>0</v>
      </c>
      <c r="E7" s="11">
        <f t="shared" si="0"/>
        <v>-1</v>
      </c>
      <c r="F7" s="37"/>
      <c r="G7" s="38" t="s">
        <v>126</v>
      </c>
    </row>
    <row r="8" spans="1:8" ht="27.75" customHeight="1" x14ac:dyDescent="0.3">
      <c r="A8" s="3" t="s">
        <v>127</v>
      </c>
      <c r="B8" s="9">
        <v>2223.41</v>
      </c>
      <c r="C8" s="9">
        <v>-490</v>
      </c>
      <c r="D8" s="17">
        <v>1733.41</v>
      </c>
      <c r="E8" s="11">
        <f t="shared" si="0"/>
        <v>-0.22038220571104736</v>
      </c>
      <c r="F8" s="37"/>
      <c r="G8" s="38" t="s">
        <v>128</v>
      </c>
    </row>
    <row r="9" spans="1:8" ht="27.75" customHeight="1" x14ac:dyDescent="0.3">
      <c r="A9" s="3" t="s">
        <v>129</v>
      </c>
      <c r="B9" s="9">
        <v>0</v>
      </c>
      <c r="C9" s="9">
        <v>1230</v>
      </c>
      <c r="D9" s="17">
        <v>1230</v>
      </c>
      <c r="E9" s="11" t="str">
        <f t="shared" si="0"/>
        <v/>
      </c>
      <c r="F9" s="37"/>
      <c r="G9" s="38" t="s">
        <v>130</v>
      </c>
    </row>
    <row r="10" spans="1:8" ht="27.75" customHeight="1" x14ac:dyDescent="0.3">
      <c r="A10" s="3" t="s">
        <v>131</v>
      </c>
      <c r="B10" s="9">
        <v>2700</v>
      </c>
      <c r="C10" s="9">
        <v>-588</v>
      </c>
      <c r="D10" s="17">
        <v>2112</v>
      </c>
      <c r="E10" s="11">
        <f t="shared" si="0"/>
        <v>-0.21777777777777776</v>
      </c>
      <c r="F10" s="37"/>
      <c r="G10" s="38" t="s">
        <v>132</v>
      </c>
    </row>
    <row r="11" spans="1:8" ht="27.75" customHeight="1" x14ac:dyDescent="0.3">
      <c r="A11" s="3" t="s">
        <v>133</v>
      </c>
      <c r="B11" s="9">
        <v>0.2404</v>
      </c>
      <c r="C11" s="9">
        <v>-0.2104</v>
      </c>
      <c r="D11" s="17">
        <v>0.03</v>
      </c>
      <c r="E11" s="11">
        <f t="shared" si="0"/>
        <v>-0.87520798668885191</v>
      </c>
      <c r="F11" s="37"/>
      <c r="G11" s="38" t="s">
        <v>134</v>
      </c>
    </row>
    <row r="12" spans="1:8" ht="27.75" customHeight="1" x14ac:dyDescent="0.3">
      <c r="A12" s="3" t="s">
        <v>135</v>
      </c>
      <c r="B12" s="14">
        <v>53000</v>
      </c>
      <c r="C12" s="14">
        <v>-13000</v>
      </c>
      <c r="D12" s="19">
        <v>40000</v>
      </c>
      <c r="E12" s="11">
        <f t="shared" si="0"/>
        <v>-0.24528301886792453</v>
      </c>
      <c r="F12" s="37"/>
      <c r="G12" s="38" t="s">
        <v>136</v>
      </c>
    </row>
    <row r="13" spans="1:8" ht="27.75" customHeight="1" x14ac:dyDescent="0.3">
      <c r="A13" s="3" t="s">
        <v>137</v>
      </c>
      <c r="B13" s="9">
        <v>7221.71</v>
      </c>
      <c r="C13" s="9">
        <v>-7200</v>
      </c>
      <c r="D13" s="17">
        <v>21.71</v>
      </c>
      <c r="E13" s="11">
        <f t="shared" si="0"/>
        <v>-0.9969937867901093</v>
      </c>
      <c r="F13" s="37"/>
      <c r="G13" s="38" t="s">
        <v>138</v>
      </c>
    </row>
    <row r="14" spans="1:8" ht="24.75" customHeight="1" x14ac:dyDescent="0.3">
      <c r="A14" s="39" t="s">
        <v>139</v>
      </c>
      <c r="C14" s="40" t="s">
        <v>140</v>
      </c>
      <c r="D14" s="55" t="s">
        <v>141</v>
      </c>
      <c r="E14" s="55"/>
      <c r="F14" s="55"/>
      <c r="G14" s="55"/>
    </row>
    <row r="17" spans="1:8" ht="15" customHeight="1" x14ac:dyDescent="0.3">
      <c r="A17" s="50" t="s">
        <v>142</v>
      </c>
      <c r="B17" s="50"/>
      <c r="C17" s="50"/>
      <c r="D17" s="50"/>
      <c r="E17" s="50"/>
      <c r="F17" s="50"/>
      <c r="G17" s="50"/>
      <c r="H17" s="50"/>
    </row>
    <row r="18" spans="1:8" ht="15" customHeight="1" x14ac:dyDescent="0.3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148</v>
      </c>
    </row>
    <row r="19" spans="1:8" ht="15" customHeight="1" x14ac:dyDescent="0.3">
      <c r="A19" s="3" t="s">
        <v>149</v>
      </c>
      <c r="B19" s="9">
        <v>500</v>
      </c>
      <c r="C19" s="17">
        <v>480</v>
      </c>
      <c r="D19" s="10">
        <f t="shared" ref="D19:D24" si="1">B19-C19</f>
        <v>20</v>
      </c>
      <c r="E19" s="9">
        <v>20</v>
      </c>
      <c r="F19" s="38" t="s">
        <v>150</v>
      </c>
    </row>
    <row r="20" spans="1:8" ht="15" customHeight="1" x14ac:dyDescent="0.3">
      <c r="A20" s="3" t="s">
        <v>151</v>
      </c>
      <c r="B20" s="9">
        <v>650</v>
      </c>
      <c r="C20" s="17">
        <v>580</v>
      </c>
      <c r="D20" s="10">
        <f t="shared" si="1"/>
        <v>70</v>
      </c>
      <c r="E20" s="9">
        <v>90</v>
      </c>
      <c r="F20" s="38" t="s">
        <v>152</v>
      </c>
    </row>
    <row r="21" spans="1:8" ht="15" customHeight="1" x14ac:dyDescent="0.3">
      <c r="A21" s="3" t="s">
        <v>4</v>
      </c>
      <c r="B21" s="9">
        <v>956</v>
      </c>
      <c r="C21" s="17">
        <v>700</v>
      </c>
      <c r="D21" s="10">
        <f t="shared" si="1"/>
        <v>256</v>
      </c>
      <c r="E21" s="9">
        <v>346</v>
      </c>
      <c r="F21" s="38" t="s">
        <v>153</v>
      </c>
    </row>
    <row r="22" spans="1:8" ht="15" customHeight="1" x14ac:dyDescent="0.3">
      <c r="A22" s="3" t="s">
        <v>5</v>
      </c>
      <c r="B22" s="9">
        <v>1200</v>
      </c>
      <c r="C22" s="17">
        <v>750</v>
      </c>
      <c r="D22" s="10">
        <f t="shared" si="1"/>
        <v>450</v>
      </c>
      <c r="E22" s="9">
        <v>796</v>
      </c>
      <c r="F22" s="38" t="s">
        <v>154</v>
      </c>
    </row>
    <row r="23" spans="1:8" ht="15" customHeight="1" x14ac:dyDescent="0.3">
      <c r="A23" s="3" t="s">
        <v>6</v>
      </c>
      <c r="B23" s="9">
        <v>651</v>
      </c>
      <c r="C23" s="17">
        <v>350</v>
      </c>
      <c r="D23" s="10">
        <f t="shared" si="1"/>
        <v>301</v>
      </c>
      <c r="E23" s="9">
        <v>1097</v>
      </c>
      <c r="F23" s="38" t="s">
        <v>155</v>
      </c>
    </row>
    <row r="24" spans="1:8" ht="15" customHeight="1" x14ac:dyDescent="0.3">
      <c r="A24" s="3" t="s">
        <v>7</v>
      </c>
      <c r="B24" s="9">
        <v>5361</v>
      </c>
      <c r="C24" s="17">
        <v>321</v>
      </c>
      <c r="D24" s="10">
        <f t="shared" si="1"/>
        <v>5040</v>
      </c>
      <c r="E24" s="9">
        <v>5040</v>
      </c>
      <c r="F24" s="38" t="s">
        <v>156</v>
      </c>
    </row>
  </sheetData>
  <mergeCells count="5">
    <mergeCell ref="A1:H1"/>
    <mergeCell ref="A2:H2"/>
    <mergeCell ref="A4:H4"/>
    <mergeCell ref="D14:G14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showGridLines="0" tabSelected="1" zoomScale="85" zoomScaleNormal="85" workbookViewId="0">
      <selection activeCell="A7" sqref="A7:H7"/>
    </sheetView>
  </sheetViews>
  <sheetFormatPr defaultColWidth="8.6640625" defaultRowHeight="14.4" x14ac:dyDescent="0.3"/>
  <cols>
    <col min="1" max="1" width="22" style="1" customWidth="1"/>
    <col min="2" max="16" width="8" style="1" customWidth="1"/>
  </cols>
  <sheetData>
    <row r="1" spans="1:16" ht="45" customHeight="1" x14ac:dyDescent="0.3">
      <c r="A1" s="65" t="s">
        <v>157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6" ht="18" customHeight="1" x14ac:dyDescent="0.3">
      <c r="A2" s="51" t="s">
        <v>158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4" spans="1:16" ht="21.75" customHeight="1" x14ac:dyDescent="0.3">
      <c r="A4" s="63" t="s">
        <v>159</v>
      </c>
      <c r="B4" s="63"/>
      <c r="C4" s="63" t="s">
        <v>160</v>
      </c>
      <c r="D4" s="63"/>
      <c r="E4" s="63" t="s">
        <v>161</v>
      </c>
      <c r="F4" s="63"/>
      <c r="G4" s="63" t="s">
        <v>162</v>
      </c>
      <c r="H4" s="63"/>
      <c r="I4" s="63" t="s">
        <v>163</v>
      </c>
      <c r="J4" s="63"/>
      <c r="K4" s="63" t="s">
        <v>164</v>
      </c>
      <c r="L4" s="63"/>
    </row>
    <row r="5" spans="1:16" ht="34.5" customHeight="1" x14ac:dyDescent="0.3">
      <c r="A5" s="61" t="s">
        <v>165</v>
      </c>
      <c r="B5" s="61"/>
      <c r="C5" s="61" t="s">
        <v>166</v>
      </c>
      <c r="D5" s="61"/>
      <c r="E5" s="61" t="s">
        <v>167</v>
      </c>
      <c r="F5" s="61"/>
      <c r="G5" s="61" t="s">
        <v>168</v>
      </c>
      <c r="H5" s="61"/>
      <c r="I5" s="62" t="s">
        <v>169</v>
      </c>
      <c r="J5" s="62"/>
      <c r="K5" s="59" t="s">
        <v>170</v>
      </c>
      <c r="L5" s="59"/>
    </row>
    <row r="7" spans="1:16" ht="15" customHeight="1" x14ac:dyDescent="0.3">
      <c r="A7" s="69" t="s">
        <v>171</v>
      </c>
      <c r="B7" s="69"/>
      <c r="C7" s="69"/>
      <c r="D7" s="69"/>
      <c r="E7" s="69"/>
      <c r="F7" s="69"/>
      <c r="G7" s="69"/>
      <c r="H7" s="69"/>
    </row>
    <row r="9" spans="1:16" ht="15" customHeight="1" x14ac:dyDescent="0.3">
      <c r="A9" s="41" t="s">
        <v>143</v>
      </c>
      <c r="B9" s="42" t="s">
        <v>143</v>
      </c>
      <c r="C9" s="42" t="s">
        <v>4</v>
      </c>
      <c r="D9" s="42" t="s">
        <v>5</v>
      </c>
      <c r="E9" s="42" t="s">
        <v>6</v>
      </c>
      <c r="F9" s="43" t="s">
        <v>172</v>
      </c>
      <c r="G9" s="43" t="s">
        <v>173</v>
      </c>
    </row>
    <row r="10" spans="1:16" ht="15" customHeight="1" x14ac:dyDescent="0.3">
      <c r="A10" s="44" t="s">
        <v>45</v>
      </c>
      <c r="B10" s="45" t="s">
        <v>45</v>
      </c>
      <c r="C10" s="45">
        <v>651.41</v>
      </c>
      <c r="D10" s="45">
        <v>956.29</v>
      </c>
      <c r="E10" s="45">
        <v>651.41</v>
      </c>
      <c r="F10" s="45">
        <v>5361</v>
      </c>
      <c r="G10" s="45">
        <v>321</v>
      </c>
    </row>
    <row r="11" spans="1:16" ht="15" customHeight="1" x14ac:dyDescent="0.3">
      <c r="A11" s="44" t="s">
        <v>52</v>
      </c>
      <c r="B11" s="46" t="s">
        <v>52</v>
      </c>
      <c r="C11" s="46">
        <v>4234</v>
      </c>
      <c r="D11" s="46">
        <v>5853</v>
      </c>
      <c r="E11" s="46">
        <v>8183</v>
      </c>
      <c r="F11" s="46">
        <v>9828</v>
      </c>
      <c r="G11" s="46">
        <v>9828</v>
      </c>
    </row>
    <row r="13" spans="1:16" ht="15" customHeight="1" x14ac:dyDescent="0.3">
      <c r="A13" s="69" t="s">
        <v>174</v>
      </c>
      <c r="B13" s="69"/>
      <c r="C13" s="69"/>
      <c r="D13" s="69"/>
      <c r="E13" s="69"/>
      <c r="F13" s="69"/>
      <c r="G13" s="69"/>
      <c r="H13" s="69"/>
    </row>
    <row r="14" spans="1:16" ht="15" customHeight="1" x14ac:dyDescent="0.3">
      <c r="A14" s="47" t="s">
        <v>175</v>
      </c>
      <c r="B14" s="48">
        <v>9.5</v>
      </c>
      <c r="C14" s="49">
        <v>1</v>
      </c>
    </row>
    <row r="15" spans="1:16" ht="15" customHeight="1" x14ac:dyDescent="0.3">
      <c r="A15" s="47" t="s">
        <v>176</v>
      </c>
      <c r="B15" s="48">
        <v>8</v>
      </c>
      <c r="C15" s="49">
        <v>2</v>
      </c>
    </row>
    <row r="16" spans="1:16" ht="15" customHeight="1" x14ac:dyDescent="0.3">
      <c r="A16" s="47" t="s">
        <v>177</v>
      </c>
      <c r="B16" s="48">
        <v>9</v>
      </c>
      <c r="C16" s="49">
        <v>1.5</v>
      </c>
    </row>
    <row r="17" spans="1:16" ht="15" customHeight="1" x14ac:dyDescent="0.3">
      <c r="A17" s="47" t="s">
        <v>178</v>
      </c>
      <c r="B17" s="48">
        <v>8</v>
      </c>
      <c r="C17" s="49">
        <v>2</v>
      </c>
    </row>
    <row r="18" spans="1:16" ht="15" customHeight="1" x14ac:dyDescent="0.3">
      <c r="A18" s="47" t="s">
        <v>179</v>
      </c>
      <c r="B18" s="48">
        <v>9</v>
      </c>
      <c r="C18" s="49">
        <v>1</v>
      </c>
    </row>
    <row r="19" spans="1:16" ht="15" customHeight="1" x14ac:dyDescent="0.3">
      <c r="A19" s="47" t="s">
        <v>180</v>
      </c>
      <c r="B19" s="48">
        <v>8</v>
      </c>
      <c r="C19" s="49">
        <v>2</v>
      </c>
    </row>
    <row r="20" spans="1:16" ht="15" customHeight="1" x14ac:dyDescent="0.3">
      <c r="A20" s="47" t="s">
        <v>181</v>
      </c>
      <c r="B20" s="48">
        <v>7</v>
      </c>
      <c r="C20" s="49">
        <v>2</v>
      </c>
    </row>
    <row r="21" spans="1:16" ht="15" customHeight="1" x14ac:dyDescent="0.3">
      <c r="A21" s="47" t="s">
        <v>182</v>
      </c>
      <c r="B21" s="48">
        <v>8</v>
      </c>
      <c r="C21" s="49">
        <v>2.5</v>
      </c>
    </row>
    <row r="23" spans="1:16" ht="15" customHeight="1" x14ac:dyDescent="0.3">
      <c r="A23" s="68" t="s">
        <v>183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</row>
    <row r="24" spans="1:16" ht="27.75" customHeight="1" x14ac:dyDescent="0.3">
      <c r="A24" s="60" t="s">
        <v>184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spans="1:16" ht="27.75" customHeight="1" x14ac:dyDescent="0.3">
      <c r="A25" s="57" t="s">
        <v>185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</row>
    <row r="26" spans="1:16" ht="27.75" customHeight="1" x14ac:dyDescent="0.3">
      <c r="A26" s="58" t="s">
        <v>186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</row>
    <row r="27" spans="1:16" ht="27.75" customHeight="1" x14ac:dyDescent="0.3">
      <c r="A27" s="57" t="s">
        <v>187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1:16" ht="27.75" customHeight="1" x14ac:dyDescent="0.3">
      <c r="A28" s="58" t="s">
        <v>188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</row>
    <row r="29" spans="1:16" ht="27.75" customHeight="1" x14ac:dyDescent="0.3">
      <c r="A29" s="57" t="s">
        <v>189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</row>
    <row r="31" spans="1:16" ht="15" customHeight="1" x14ac:dyDescent="0.3">
      <c r="A31" s="68" t="s">
        <v>190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</row>
    <row r="32" spans="1:16" ht="24.75" customHeight="1" x14ac:dyDescent="0.3">
      <c r="A32" s="56" t="s">
        <v>191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</row>
    <row r="33" spans="1:16" ht="24.75" customHeight="1" x14ac:dyDescent="0.3">
      <c r="A33" s="56" t="s">
        <v>192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</row>
    <row r="34" spans="1:16" ht="24.75" customHeight="1" x14ac:dyDescent="0.3">
      <c r="A34" s="56" t="s">
        <v>193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 spans="1:16" ht="24.75" customHeight="1" x14ac:dyDescent="0.3">
      <c r="A35" s="56" t="s">
        <v>194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</row>
    <row r="36" spans="1:16" ht="24.75" customHeight="1" x14ac:dyDescent="0.3">
      <c r="A36" s="56" t="s">
        <v>195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</sheetData>
  <mergeCells count="29">
    <mergeCell ref="A1:P1"/>
    <mergeCell ref="A2:P2"/>
    <mergeCell ref="A4:B4"/>
    <mergeCell ref="C4:D4"/>
    <mergeCell ref="E4:F4"/>
    <mergeCell ref="G4:H4"/>
    <mergeCell ref="I4:J4"/>
    <mergeCell ref="K4:L4"/>
    <mergeCell ref="K5:L5"/>
    <mergeCell ref="A7:H7"/>
    <mergeCell ref="A13:H13"/>
    <mergeCell ref="A23:P23"/>
    <mergeCell ref="A24:P24"/>
    <mergeCell ref="A5:B5"/>
    <mergeCell ref="C5:D5"/>
    <mergeCell ref="E5:F5"/>
    <mergeCell ref="G5:H5"/>
    <mergeCell ref="I5:J5"/>
    <mergeCell ref="A25:P25"/>
    <mergeCell ref="A26:P26"/>
    <mergeCell ref="A27:P27"/>
    <mergeCell ref="A28:P28"/>
    <mergeCell ref="A29:P29"/>
    <mergeCell ref="A36:P36"/>
    <mergeCell ref="A31:P31"/>
    <mergeCell ref="A32:P32"/>
    <mergeCell ref="A33:P33"/>
    <mergeCell ref="A34:P34"/>
    <mergeCell ref="A35:P3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Analysis</vt:lpstr>
      <vt:lpstr>Red Flag Scoring</vt:lpstr>
      <vt:lpstr>Scenario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Alshad Ansari</cp:lastModifiedBy>
  <cp:revision>2</cp:revision>
  <dcterms:created xsi:type="dcterms:W3CDTF">2026-07-17T11:01:41Z</dcterms:created>
  <dcterms:modified xsi:type="dcterms:W3CDTF">2026-07-18T15:30:58Z</dcterms:modified>
  <dc:language>en-US</dc:language>
</cp:coreProperties>
</file>